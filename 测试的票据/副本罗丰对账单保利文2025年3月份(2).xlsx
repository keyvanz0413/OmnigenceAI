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3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<sst xmlns="http://schemas.openxmlformats.org/spreadsheetml/2006/main" count="67" uniqueCount="54">
  <si>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惠州市罗丰实业有限公司</t>
  </si>
  <si>
    <r>
      <rPr>
        <b/>
        <sz val="12"/>
        <color theme="1"/>
        <rFont val="宋体"/>
        <charset val="134"/>
        <scheme val="minor"/>
      </rPr>
      <t>公司地址:</t>
    </r>
    <r>
      <rPr>
        <b/>
        <sz val="12"/>
        <color indexed="8"/>
        <rFont val="宋体"/>
        <charset val="134"/>
      </rPr>
      <t>惠阳区淡水石桥中路一号富丽达花园</t>
    </r>
  </si>
  <si>
    <t>公司电话0752-3731609/13902477013</t>
  </si>
  <si>
    <t>公司传真:0752-7160718</t>
  </si>
  <si>
    <t>3月对 账 单</t>
  </si>
  <si>
    <t>客户:东莞保利文塑胶制品有限公司</t>
  </si>
  <si>
    <t>所属月份:3</t>
  </si>
  <si>
    <t>送货日期</t>
  </si>
  <si>
    <t>订单号</t>
  </si>
  <si>
    <t>送货单号</t>
  </si>
  <si>
    <t>货物名称及明细</t>
  </si>
  <si>
    <t>单位</t>
  </si>
  <si>
    <t>数量</t>
  </si>
  <si>
    <t>单价
(不含税)</t>
  </si>
  <si>
    <t>不含税金额</t>
  </si>
  <si>
    <t>备注</t>
  </si>
  <si>
    <t>ZADM4500615710</t>
  </si>
  <si>
    <t>LF2025022801</t>
  </si>
  <si>
    <t>客制_16mm空心钉拉伸模芯_φ5*25.5*4.9mm_附</t>
  </si>
  <si>
    <t>PC</t>
  </si>
  <si>
    <t>客制_Φ1.25"电源通冲四孔模芯_4-Φ3.5mm</t>
  </si>
  <si>
    <t>ZADM4500615108</t>
  </si>
  <si>
    <t>LF2025022802</t>
  </si>
  <si>
    <t>客制_1.5寸铁管脚中管冲凹点模_PP-7521A_芯棒(1.5mm壁厚专用)</t>
  </si>
  <si>
    <t>客制_1.5寸铁管脚中管冲凹点模_PP-7521A_芯棒(1.2mm壁厚专用)</t>
  </si>
  <si>
    <t>客制_1.5"铁管脚中管模具芯棒_Ø47*101mm(1.2mm壁厚专用)</t>
  </si>
  <si>
    <t>客制_1.5"铁管脚中管模具芯棒_Ø47*101mm(1.5mm壁厚专用)</t>
  </si>
  <si>
    <t>ZDOM4500617092</t>
  </si>
  <si>
    <t>LF20250303</t>
  </si>
  <si>
    <t>木保护盖-5.8*5.8*2.5-未消毒</t>
  </si>
  <si>
    <t>ZADM4500620451</t>
  </si>
  <si>
    <t>LF2025030501</t>
  </si>
  <si>
    <t>客制_包装袋齿形模H62黄铜_461*100*4mm</t>
  </si>
  <si>
    <t>ZADM4500623254</t>
  </si>
  <si>
    <t>LF20250301601</t>
  </si>
  <si>
    <t>ZADM4500620364</t>
  </si>
  <si>
    <t>LF2025031906</t>
  </si>
  <si>
    <t>客制_铝合金主轴_Φ40*3000mm(附图)</t>
  </si>
  <si>
    <t>ZADM4500624545</t>
  </si>
  <si>
    <t>LF20250302201</t>
  </si>
  <si>
    <t>ZMOD4500622077</t>
  </si>
  <si>
    <t>LF20250302401</t>
  </si>
  <si>
    <t>客制_圆形铁底座(平)_176*S2mm_复合模_PP-7669A</t>
  </si>
  <si>
    <t>套</t>
  </si>
  <si>
    <t>ZMOD4500616724</t>
  </si>
  <si>
    <t>LF2025032501</t>
  </si>
  <si>
    <t>客制_1.5寸X型树脚上边脚\下边脚_切弧形模_PP-7612\PP-7613A</t>
  </si>
  <si>
    <t>13%增值税</t>
  </si>
  <si>
    <t>总计：</t>
  </si>
  <si>
    <t>税金</t>
  </si>
  <si>
    <t>汇总</t>
  </si>
  <si>
    <t>制表人:</t>
  </si>
  <si>
    <t>覃丹</t>
  </si>
  <si>
    <t>公司盖章: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</si>
</sst>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STSong-Light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  <scheme val="minor"/>
    </font>
    <font>
      <sz val="1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7" fontId="0" fillId="0" borderId="0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58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58" fontId="7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view="pageBreakPreview" zoomScaleNormal="100" topLeftCell="A15" workbookViewId="0">
      <selection activeCell="G7" sqref="G7:G19"/>
    </sheetView>
  </sheetViews>
  <sheetFormatPr defaultColWidth="9" defaultRowHeight="16.8"/>
  <cols>
    <col min="1" max="1" width="11.375" customWidth="1"/>
    <col min="2" max="2" width="15.5" customWidth="1"/>
    <col min="3" max="3" width="14.5" customWidth="1"/>
    <col min="4" max="4" width="21.625" customWidth="1"/>
    <col min="5" max="5" width="5" customWidth="1"/>
    <col min="6" max="6" width="6.875" customWidth="1"/>
    <col min="7" max="7" width="14.75" customWidth="1"/>
    <col min="8" max="8" width="15" customWidth="1"/>
    <col min="9" max="9" width="8.125" customWidth="1"/>
    <col min="10" max="10" width="9.375"/>
  </cols>
  <sheetData>
    <row r="1" ht="36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4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0.4" spans="1:10">
      <c r="A3" s="4"/>
      <c r="B3" s="4" t="s">
        <v>2</v>
      </c>
      <c r="C3" s="5"/>
      <c r="D3" s="5"/>
      <c r="E3" s="4"/>
      <c r="F3" s="6" t="s">
        <v>3</v>
      </c>
      <c r="G3" s="4"/>
      <c r="H3" s="4"/>
      <c r="I3" s="4"/>
    </row>
    <row r="4" ht="23.2" spans="1:10">
      <c r="A4" s="7" t="s">
        <v>4</v>
      </c>
      <c r="B4" s="7"/>
      <c r="C4" s="7"/>
      <c r="D4" s="7"/>
      <c r="E4" s="7"/>
      <c r="F4" s="7"/>
      <c r="G4" s="7"/>
      <c r="H4" s="7"/>
      <c r="I4" s="7"/>
    </row>
    <row r="5" s="1" customFormat="1" ht="15" customHeight="1" spans="1:10">
      <c r="A5" s="8" t="s">
        <v>5</v>
      </c>
      <c r="B5" s="9"/>
      <c r="C5" s="9"/>
      <c r="D5" s="9"/>
      <c r="E5" s="9"/>
      <c r="F5" s="9"/>
      <c r="G5" s="9" t="s">
        <v>6</v>
      </c>
      <c r="H5" s="10">
        <v>45746</v>
      </c>
      <c r="I5" s="9"/>
    </row>
    <row r="6" ht="28" customHeight="1" spans="1:10">
      <c r="A6" s="11" t="s">
        <v>7</v>
      </c>
      <c r="B6" s="11" t="s">
        <v>8</v>
      </c>
      <c r="C6" s="11" t="s">
        <v>9</v>
      </c>
      <c r="D6" s="11" t="s">
        <v>10</v>
      </c>
      <c r="E6" s="11" t="s">
        <v>11</v>
      </c>
      <c r="F6" s="11" t="s">
        <v>12</v>
      </c>
      <c r="G6" s="12" t="s">
        <v>13</v>
      </c>
      <c r="H6" s="11" t="s">
        <v>14</v>
      </c>
      <c r="I6" s="11" t="s">
        <v>15</v>
      </c>
    </row>
    <row r="7" ht="34" customHeight="1" spans="1:10">
      <c r="A7" s="13">
        <v>45716</v>
      </c>
      <c r="B7" s="14" t="s">
        <v>16</v>
      </c>
      <c r="C7" s="15" t="s">
        <v>17</v>
      </c>
      <c r="D7" s="16" t="s">
        <v>18</v>
      </c>
      <c r="E7" s="17" t="s">
        <v>19</v>
      </c>
      <c r="F7" s="18">
        <v>4</v>
      </c>
      <c r="G7" s="19">
        <v>0</v>
      </c>
      <c r="H7" s="20">
        <f>G7*F7</f>
        <v>0</v>
      </c>
      <c r="I7" s="21"/>
    </row>
    <row r="8" ht="39" customHeight="1" spans="1:10">
      <c r="A8" s="13"/>
      <c r="B8" s="14"/>
      <c r="C8" s="15"/>
      <c r="D8" s="16" t="s">
        <v>20</v>
      </c>
      <c r="E8" s="17" t="s">
        <v>19</v>
      </c>
      <c r="F8" s="18">
        <v>1</v>
      </c>
      <c r="G8" s="19">
        <v>1</v>
      </c>
      <c r="H8" s="20">
        <f t="shared" ref="H8:H19" si="0">G8*F8</f>
        <v>1</v>
      </c>
      <c r="I8" s="21"/>
    </row>
    <row r="9" ht="39" customHeight="1" spans="1:10">
      <c r="A9" s="13">
        <v>45716</v>
      </c>
      <c r="B9" s="22" t="s">
        <v>21</v>
      </c>
      <c r="C9" s="23" t="s">
        <v>22</v>
      </c>
      <c r="D9" s="16" t="s">
        <v>23</v>
      </c>
      <c r="E9" s="17" t="s">
        <v>19</v>
      </c>
      <c r="F9" s="18">
        <v>1</v>
      </c>
      <c r="G9" s="19">
        <v>2</v>
      </c>
      <c r="H9" s="20">
        <f t="shared" si="0"/>
        <v>2</v>
      </c>
      <c r="I9" s="21"/>
    </row>
    <row r="10" ht="39" customHeight="1" spans="1:10">
      <c r="A10" s="13"/>
      <c r="B10" s="22"/>
      <c r="C10" s="23"/>
      <c r="D10" s="16" t="s">
        <v>24</v>
      </c>
      <c r="E10" s="17" t="s">
        <v>19</v>
      </c>
      <c r="F10" s="18">
        <v>1</v>
      </c>
      <c r="G10" s="19">
        <v>3</v>
      </c>
      <c r="H10" s="20">
        <f t="shared" si="0"/>
        <v>3</v>
      </c>
      <c r="I10" s="21"/>
    </row>
    <row r="11" ht="39" customHeight="1" spans="1:10">
      <c r="A11" s="13"/>
      <c r="B11" s="22"/>
      <c r="C11" s="23"/>
      <c r="D11" s="16" t="s">
        <v>25</v>
      </c>
      <c r="E11" s="17" t="s">
        <v>19</v>
      </c>
      <c r="F11" s="18">
        <v>1</v>
      </c>
      <c r="G11" s="19">
        <v>4</v>
      </c>
      <c r="H11" s="20">
        <f t="shared" si="0"/>
        <v>4</v>
      </c>
      <c r="I11" s="21"/>
    </row>
    <row r="12" ht="39" customHeight="1" spans="1:10">
      <c r="A12" s="13"/>
      <c r="B12" s="22"/>
      <c r="C12" s="23"/>
      <c r="D12" s="16" t="s">
        <v>26</v>
      </c>
      <c r="E12" s="17" t="s">
        <v>19</v>
      </c>
      <c r="F12" s="18">
        <v>1</v>
      </c>
      <c r="G12" s="19">
        <v>5</v>
      </c>
      <c r="H12" s="20">
        <f t="shared" si="0"/>
        <v>5</v>
      </c>
      <c r="I12" s="21"/>
    </row>
    <row r="13" ht="40" customHeight="1" spans="1:10">
      <c r="A13" s="13">
        <v>45719</v>
      </c>
      <c r="B13" s="24" t="s">
        <v>27</v>
      </c>
      <c r="C13" s="23" t="s">
        <v>28</v>
      </c>
      <c r="D13" s="16" t="s">
        <v>29</v>
      </c>
      <c r="E13" s="17" t="s">
        <v>19</v>
      </c>
      <c r="F13" s="18">
        <v>14</v>
      </c>
      <c r="G13" s="19">
        <v>6</v>
      </c>
      <c r="H13" s="20">
        <f t="shared" si="0"/>
        <v>84</v>
      </c>
      <c r="I13" s="21"/>
      <c r="J13" s="25"/>
    </row>
    <row r="14" ht="40" customHeight="1" spans="1:10">
      <c r="A14" s="13">
        <v>45721</v>
      </c>
      <c r="B14" s="24" t="s">
        <v>30</v>
      </c>
      <c r="C14" s="15" t="s">
        <v>31</v>
      </c>
      <c r="D14" s="16" t="s">
        <v>32</v>
      </c>
      <c r="E14" s="17" t="s">
        <v>19</v>
      </c>
      <c r="F14" s="18">
        <v>1</v>
      </c>
      <c r="G14" s="19">
        <v>7</v>
      </c>
      <c r="H14" s="20">
        <f t="shared" si="0"/>
        <v>7</v>
      </c>
      <c r="I14" s="21"/>
      <c r="J14" s="25"/>
    </row>
    <row r="15" ht="40" customHeight="1" spans="1:10">
      <c r="A15" s="13">
        <v>45732</v>
      </c>
      <c r="B15" s="24" t="s">
        <v>33</v>
      </c>
      <c r="C15" s="15" t="s">
        <v>34</v>
      </c>
      <c r="D15" s="16" t="s">
        <v>32</v>
      </c>
      <c r="E15" s="17" t="s">
        <v>19</v>
      </c>
      <c r="F15" s="18">
        <v>1</v>
      </c>
      <c r="G15" s="19">
        <v>8</v>
      </c>
      <c r="H15" s="20">
        <f t="shared" si="0"/>
        <v>8</v>
      </c>
      <c r="I15" s="21"/>
      <c r="J15" s="25"/>
    </row>
    <row r="16" ht="40" customHeight="1" spans="1:10">
      <c r="A16" s="13">
        <v>45735</v>
      </c>
      <c r="B16" s="24" t="s">
        <v>35</v>
      </c>
      <c r="C16" s="15" t="s">
        <v>36</v>
      </c>
      <c r="D16" s="16" t="s">
        <v>37</v>
      </c>
      <c r="E16" s="17" t="s">
        <v>19</v>
      </c>
      <c r="F16" s="18">
        <v>1</v>
      </c>
      <c r="G16" s="19">
        <v>9</v>
      </c>
      <c r="H16" s="20">
        <f t="shared" si="0"/>
        <v>9</v>
      </c>
      <c r="I16" s="21"/>
      <c r="J16" s="25"/>
    </row>
    <row r="17" ht="40" customHeight="1" spans="1:9">
      <c r="A17" s="13">
        <v>45738</v>
      </c>
      <c r="B17" s="24" t="s">
        <v>38</v>
      </c>
      <c r="C17" s="15" t="s">
        <v>39</v>
      </c>
      <c r="D17" s="16" t="s">
        <v>32</v>
      </c>
      <c r="E17" s="17" t="s">
        <v>19</v>
      </c>
      <c r="F17" s="18">
        <v>2</v>
      </c>
      <c r="G17" s="19">
        <v>10</v>
      </c>
      <c r="H17" s="20">
        <f t="shared" si="0"/>
        <v>20</v>
      </c>
      <c r="I17" s="21"/>
    </row>
    <row r="18" ht="40" customHeight="1" spans="1:9">
      <c r="A18" s="13">
        <v>45740</v>
      </c>
      <c r="B18" s="24" t="s">
        <v>40</v>
      </c>
      <c r="C18" s="15" t="s">
        <v>41</v>
      </c>
      <c r="D18" s="16" t="s">
        <v>42</v>
      </c>
      <c r="E18" s="17" t="s">
        <v>43</v>
      </c>
      <c r="F18" s="18">
        <v>1</v>
      </c>
      <c r="G18" s="19">
        <v>11</v>
      </c>
      <c r="H18" s="20">
        <f t="shared" si="0"/>
        <v>11</v>
      </c>
      <c r="I18" s="21"/>
    </row>
    <row r="19" ht="40" customHeight="1" spans="1:9">
      <c r="A19" s="13">
        <v>45741</v>
      </c>
      <c r="B19" s="24" t="s">
        <v>44</v>
      </c>
      <c r="C19" s="15" t="s">
        <v>45</v>
      </c>
      <c r="D19" s="16" t="s">
        <v>46</v>
      </c>
      <c r="E19" s="17" t="s">
        <v>43</v>
      </c>
      <c r="F19" s="18">
        <v>1</v>
      </c>
      <c r="G19" s="19">
        <v>12</v>
      </c>
      <c r="H19" s="20">
        <f t="shared" si="0"/>
        <v>12</v>
      </c>
      <c r="I19" s="21"/>
    </row>
    <row r="20" ht="31" customHeight="1" spans="1:9">
      <c r="A20" s="26"/>
      <c r="B20" s="27"/>
      <c r="C20" s="28"/>
      <c r="D20" s="27"/>
      <c r="E20" s="21" t="s">
        <v>47</v>
      </c>
      <c r="F20" s="21"/>
      <c r="G20" s="29" t="s">
        <v>48</v>
      </c>
      <c r="H20" s="20">
        <f>SUM(H7:H19)</f>
        <v>166</v>
      </c>
      <c r="I20" s="27"/>
    </row>
    <row r="21" ht="30" customHeight="1" spans="1:9">
      <c r="A21" s="26"/>
      <c r="B21" s="27"/>
      <c r="C21" s="27"/>
      <c r="D21" s="27"/>
      <c r="E21" s="30"/>
      <c r="F21" s="31"/>
      <c r="G21" s="29" t="s">
        <v>49</v>
      </c>
      <c r="H21" s="20">
        <f>H20*0.13</f>
        <v>21.58</v>
      </c>
      <c r="I21" s="27"/>
    </row>
    <row r="22" ht="30" customHeight="1" spans="1:9">
      <c r="A22" s="26"/>
      <c r="B22" s="27"/>
      <c r="C22" s="27"/>
      <c r="D22" s="27"/>
      <c r="E22" s="30"/>
      <c r="F22" s="31"/>
      <c r="G22" s="29" t="s">
        <v>50</v>
      </c>
      <c r="H22" s="20">
        <f>SUM(H20:H21)</f>
        <v>187.58</v>
      </c>
      <c r="I22" s="27"/>
    </row>
    <row r="23" ht="30" customHeight="1" spans="1:9">
      <c r="A23" s="32"/>
      <c r="B23" s="33" t="s">
        <v>51</v>
      </c>
      <c r="C23" s="33" t="s">
        <v>52</v>
      </c>
      <c r="D23" s="33" t="s">
        <v>53</v>
      </c>
      <c r="E23" s="30"/>
      <c r="F23" s="31"/>
      <c r="G23" s="27"/>
      <c r="H23" s="27"/>
      <c r="I23" s="27"/>
    </row>
  </sheetData>
  <mergeCells count="13">
    <mergeCell ref="A1:I1"/>
    <mergeCell ref="A2:I2"/>
    <mergeCell ref="A4:I4"/>
    <mergeCell ref="E20:F20"/>
    <mergeCell ref="E21:F21"/>
    <mergeCell ref="E22:F22"/>
    <mergeCell ref="E23:F23"/>
    <mergeCell ref="A7:A8"/>
    <mergeCell ref="A9:A12"/>
    <mergeCell ref="B7:B8"/>
    <mergeCell ref="B9:B12"/>
    <mergeCell ref="C7:C8"/>
    <mergeCell ref="C9:C12"/>
  </mergeCells>
  <pageMargins left="0" right="0" top="0" bottom="0" header="0" footer="0"/>
  <pageSetup paperSize="9" scale="84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1.</cp:lastModifiedBy>
  <dcterms:created xsi:type="dcterms:W3CDTF">2020-02-17T03:10:00Z</dcterms:created>
  <dcterms:modified xsi:type="dcterms:W3CDTF">2025-12-26T01:02:05Z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43C33B797EA9876B7DD04D694BEDA398_43</vt:lpwstr>
  </property>
  <property fmtid="{D5CDD505-2E9C-101B-9397-08002B2CF9AE}" pid="4" name="commondata">
    <vt:lpwstr>eyJoZGlkIjoiZDM1MmM3YzJhNGUxNDFmMGJjODMyZWFlMzM3NWFmZWYifQ==</vt:lpwstr>
  </property>
  <property fmtid="{D5CDD505-2E9C-101B-9397-08002B2CF9AE}" pid="5" name="CalculationRule">
    <vt:i4>0</vt:i4>
  </property>
</Properties>
</file>